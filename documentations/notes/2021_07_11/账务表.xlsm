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\大创\会议文档\2021_07_09\"/>
    </mc:Choice>
  </mc:AlternateContent>
  <xr:revisionPtr revIDLastSave="0" documentId="13_ncr:1_{F25242C2-96B2-491A-8D87-81669C5EDF63}" xr6:coauthVersionLast="45" xr6:coauthVersionMax="45" xr10:uidLastSave="{00000000-0000-0000-0000-000000000000}"/>
  <bookViews>
    <workbookView xWindow="-108" yWindow="-108" windowWidth="23256" windowHeight="12576" xr2:uid="{162A1F67-E5BA-4E18-B8AB-61A360E9AB12}"/>
  </bookViews>
  <sheets>
    <sheet name="Sheet1" sheetId="1" r:id="rId1"/>
  </sheets>
  <definedNames>
    <definedName name="_xlnm._FilterDatabase" localSheetId="0" hidden="1">Sheet1!$C$2:$D$33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" i="1" l="1"/>
  <c r="K6" i="1"/>
  <c r="O3" i="1" l="1"/>
  <c r="O7" i="1" s="1"/>
  <c r="I6" i="1" l="1"/>
  <c r="J6" i="1" s="1"/>
  <c r="I5" i="1"/>
  <c r="J5" i="1" s="1"/>
  <c r="K5" i="1" s="1"/>
  <c r="I4" i="1"/>
  <c r="J4" i="1" s="1"/>
  <c r="K4" i="1" s="1"/>
  <c r="I3" i="1"/>
  <c r="J3" i="1" s="1"/>
  <c r="K3" i="1" s="1"/>
</calcChain>
</file>

<file path=xl/sharedStrings.xml><?xml version="1.0" encoding="utf-8"?>
<sst xmlns="http://schemas.openxmlformats.org/spreadsheetml/2006/main" count="63" uniqueCount="46">
  <si>
    <t>功能点</t>
    <phoneticPr fontId="1" type="noConversion"/>
  </si>
  <si>
    <t>登录</t>
    <phoneticPr fontId="1" type="noConversion"/>
  </si>
  <si>
    <t>前端逻辑</t>
    <phoneticPr fontId="1" type="noConversion"/>
  </si>
  <si>
    <t>后端接口</t>
    <phoneticPr fontId="1" type="noConversion"/>
  </si>
  <si>
    <t>初期探索</t>
    <phoneticPr fontId="1" type="noConversion"/>
  </si>
  <si>
    <t>车间子系统</t>
    <phoneticPr fontId="1" type="noConversion"/>
  </si>
  <si>
    <t>控制图绘制</t>
    <phoneticPr fontId="1" type="noConversion"/>
  </si>
  <si>
    <t>零件管理</t>
    <phoneticPr fontId="1" type="noConversion"/>
  </si>
  <si>
    <t>车间管理</t>
    <phoneticPr fontId="1" type="noConversion"/>
  </si>
  <si>
    <t>用户管理</t>
    <phoneticPr fontId="1" type="noConversion"/>
  </si>
  <si>
    <t>异常报警</t>
    <phoneticPr fontId="1" type="noConversion"/>
  </si>
  <si>
    <t>异常详情页</t>
    <phoneticPr fontId="1" type="noConversion"/>
  </si>
  <si>
    <t>账户设置</t>
    <phoneticPr fontId="1" type="noConversion"/>
  </si>
  <si>
    <t>仓储子系统</t>
    <phoneticPr fontId="1" type="noConversion"/>
  </si>
  <si>
    <t>大屏看板</t>
    <phoneticPr fontId="1" type="noConversion"/>
  </si>
  <si>
    <t>设计</t>
    <phoneticPr fontId="1" type="noConversion"/>
  </si>
  <si>
    <t>仓位图</t>
    <phoneticPr fontId="1" type="noConversion"/>
  </si>
  <si>
    <t>入库管理</t>
    <phoneticPr fontId="1" type="noConversion"/>
  </si>
  <si>
    <t>出库管理</t>
    <phoneticPr fontId="1" type="noConversion"/>
  </si>
  <si>
    <t>技术功能</t>
    <phoneticPr fontId="1" type="noConversion"/>
  </si>
  <si>
    <t>权限管理（前端）</t>
    <phoneticPr fontId="1" type="noConversion"/>
  </si>
  <si>
    <t>权限管理（后端）</t>
    <phoneticPr fontId="1" type="noConversion"/>
  </si>
  <si>
    <t>控制图与判异</t>
    <phoneticPr fontId="1" type="noConversion"/>
  </si>
  <si>
    <t>其他</t>
    <phoneticPr fontId="1" type="noConversion"/>
  </si>
  <si>
    <t>页面设计</t>
    <phoneticPr fontId="1" type="noConversion"/>
  </si>
  <si>
    <t>前端框架</t>
    <phoneticPr fontId="1" type="noConversion"/>
  </si>
  <si>
    <t>后端框架</t>
    <phoneticPr fontId="1" type="noConversion"/>
  </si>
  <si>
    <t>汇总</t>
    <phoneticPr fontId="1" type="noConversion"/>
  </si>
  <si>
    <t>预留金额</t>
    <phoneticPr fontId="1" type="noConversion"/>
  </si>
  <si>
    <t>总计</t>
    <phoneticPr fontId="1" type="noConversion"/>
  </si>
  <si>
    <t>zyh</t>
    <phoneticPr fontId="1" type="noConversion"/>
  </si>
  <si>
    <t>czz</t>
    <phoneticPr fontId="1" type="noConversion"/>
  </si>
  <si>
    <t>lbw</t>
    <phoneticPr fontId="1" type="noConversion"/>
  </si>
  <si>
    <t>基本金额</t>
    <phoneticPr fontId="1" type="noConversion"/>
  </si>
  <si>
    <t>功能点金额</t>
    <phoneticPr fontId="1" type="noConversion"/>
  </si>
  <si>
    <t>功能点</t>
    <phoneticPr fontId="1" type="noConversion"/>
  </si>
  <si>
    <t>占比</t>
    <phoneticPr fontId="1" type="noConversion"/>
  </si>
  <si>
    <t>功能点金额</t>
    <phoneticPr fontId="1" type="noConversion"/>
  </si>
  <si>
    <t>总金额</t>
    <phoneticPr fontId="1" type="noConversion"/>
  </si>
  <si>
    <t>上次汇入</t>
    <phoneticPr fontId="1" type="noConversion"/>
  </si>
  <si>
    <t>本次拔款</t>
    <phoneticPr fontId="1" type="noConversion"/>
  </si>
  <si>
    <t>人</t>
    <phoneticPr fontId="1" type="noConversion"/>
  </si>
  <si>
    <t>测量控制计划</t>
    <phoneticPr fontId="1" type="noConversion"/>
  </si>
  <si>
    <t>前端逻辑</t>
    <phoneticPr fontId="1" type="noConversion"/>
  </si>
  <si>
    <t>组织协调</t>
    <phoneticPr fontId="1" type="noConversion"/>
  </si>
  <si>
    <t>总金额（终）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</si>
</sst>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0.0_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5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3" fillId="5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3" fillId="0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0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7" fontId="0" fillId="0" borderId="1" xfId="0" applyNumberFormat="1" applyBorder="1">
      <alignment vertical="center"/>
    </xf>
    <xf numFmtId="176" fontId="0" fillId="0" borderId="0" xfId="0" applyNumberFormat="1">
      <alignment vertical="center"/>
    </xf>
    <xf numFmtId="0" fontId="0" fillId="8" borderId="1" xfId="0" applyFill="1" applyBorder="1">
      <alignment vertical="center"/>
    </xf>
    <xf numFmtId="0" fontId="0" fillId="0" borderId="0" xfId="0" applyFill="1">
      <alignment vertical="center"/>
    </xf>
    <xf numFmtId="0" fontId="0" fillId="5" borderId="1" xfId="0" applyFill="1" applyBorder="1">
      <alignment vertical="center"/>
    </xf>
    <xf numFmtId="0" fontId="2" fillId="6" borderId="1" xfId="0" applyFont="1" applyFill="1" applyBorder="1">
      <alignment vertical="center"/>
    </xf>
    <xf numFmtId="0" fontId="3" fillId="6" borderId="1" xfId="0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9" borderId="2" xfId="0" applyFill="1" applyBorder="1">
      <alignment vertical="center"/>
    </xf>
    <xf numFmtId="7" fontId="0" fillId="9" borderId="0" xfId="0" applyNumberFormat="1" applyFill="1">
      <alignment vertical="center"/>
    </xf>
    <xf numFmtId="0" fontId="0" fillId="7" borderId="2" xfId="0" applyFill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A2AC-CAC9-40E9-9AA9-AFC3971C2AE0}">
  <sheetPr codeName="Sheet1"/>
  <dimension ref="A1:O38"/>
  <sheetViews>
    <sheetView tabSelected="1" workbookViewId="0">
      <selection activeCell="O6" sqref="O6"/>
    </sheetView>
  </sheetViews>
  <sheetFormatPr defaultRowHeight="13.8" x14ac:dyDescent="0.25"/>
  <cols>
    <col min="1" max="1" width="11.33203125" customWidth="1"/>
    <col min="2" max="2" width="16.5546875" customWidth="1"/>
    <col min="3" max="3" width="17" customWidth="1"/>
    <col min="7" max="7" width="9" customWidth="1"/>
    <col min="8" max="8" width="8.109375" customWidth="1"/>
    <col min="10" max="10" width="12.44140625" customWidth="1"/>
    <col min="12" max="12" width="16.88671875" customWidth="1"/>
    <col min="13" max="13" width="5.33203125" customWidth="1"/>
    <col min="14" max="14" width="14.6640625" customWidth="1"/>
  </cols>
  <sheetData>
    <row r="1" spans="1:15" ht="17.399999999999999" x14ac:dyDescent="0.25">
      <c r="A1" s="24" t="s">
        <v>0</v>
      </c>
      <c r="B1" s="24"/>
      <c r="C1" s="24"/>
      <c r="D1" s="24"/>
      <c r="G1" s="25" t="s">
        <v>27</v>
      </c>
      <c r="H1" s="25"/>
      <c r="I1" s="25"/>
      <c r="J1" s="25"/>
      <c r="K1" s="25"/>
      <c r="N1" s="15" t="s">
        <v>40</v>
      </c>
      <c r="O1" s="12">
        <v>1500</v>
      </c>
    </row>
    <row r="2" spans="1:15" x14ac:dyDescent="0.25">
      <c r="A2" s="1" t="s">
        <v>1</v>
      </c>
      <c r="B2" s="8"/>
      <c r="C2" s="2" t="s">
        <v>2</v>
      </c>
      <c r="D2" s="10">
        <v>1</v>
      </c>
      <c r="G2" s="17" t="s">
        <v>41</v>
      </c>
      <c r="H2" s="17" t="s">
        <v>35</v>
      </c>
      <c r="I2" s="17" t="s">
        <v>36</v>
      </c>
      <c r="J2" s="17" t="s">
        <v>37</v>
      </c>
      <c r="K2" s="17" t="s">
        <v>38</v>
      </c>
      <c r="L2" s="21" t="s">
        <v>45</v>
      </c>
      <c r="M2" s="23"/>
      <c r="N2" s="15" t="s">
        <v>39</v>
      </c>
      <c r="O2" s="3">
        <v>400</v>
      </c>
    </row>
    <row r="3" spans="1:15" x14ac:dyDescent="0.25">
      <c r="A3" s="4"/>
      <c r="B3" s="8"/>
      <c r="C3" s="5" t="s">
        <v>3</v>
      </c>
      <c r="D3" s="10">
        <v>1</v>
      </c>
      <c r="G3" s="2" t="s">
        <v>30</v>
      </c>
      <c r="H3" s="3">
        <v>19.7</v>
      </c>
      <c r="I3" s="11">
        <f>H3/H6</f>
        <v>0.41649048625792812</v>
      </c>
      <c r="J3" s="13">
        <f>O7*I3</f>
        <v>520.61310782241014</v>
      </c>
      <c r="K3" s="13">
        <f>J3+O6</f>
        <v>670.61310782241014</v>
      </c>
      <c r="L3" s="22">
        <v>690</v>
      </c>
      <c r="N3" s="15" t="s">
        <v>38</v>
      </c>
      <c r="O3" s="3">
        <f>O1+O2</f>
        <v>1900</v>
      </c>
    </row>
    <row r="4" spans="1:15" x14ac:dyDescent="0.25">
      <c r="A4" s="4"/>
      <c r="B4" s="8"/>
      <c r="C4" s="6" t="s">
        <v>4</v>
      </c>
      <c r="D4" s="10">
        <v>1</v>
      </c>
      <c r="G4" s="5" t="s">
        <v>31</v>
      </c>
      <c r="H4" s="3">
        <v>19.600000000000001</v>
      </c>
      <c r="I4" s="11">
        <f>H4/H6</f>
        <v>0.41437632135306557</v>
      </c>
      <c r="J4" s="13">
        <f>O7*I4</f>
        <v>517.97040169133197</v>
      </c>
      <c r="K4" s="13">
        <f>J4+O6</f>
        <v>667.97040169133197</v>
      </c>
      <c r="L4" s="22">
        <v>640</v>
      </c>
      <c r="N4" s="16"/>
    </row>
    <row r="5" spans="1:15" ht="14.4" customHeight="1" x14ac:dyDescent="0.25">
      <c r="A5" s="7"/>
      <c r="B5" s="8"/>
      <c r="C5" s="3"/>
      <c r="D5" s="10"/>
      <c r="G5" s="6" t="s">
        <v>32</v>
      </c>
      <c r="H5" s="3">
        <v>8</v>
      </c>
      <c r="I5" s="11">
        <f>H5/H6</f>
        <v>0.16913319238900634</v>
      </c>
      <c r="J5" s="13">
        <f>O7*I5</f>
        <v>211.41649048625794</v>
      </c>
      <c r="K5" s="13">
        <f>J5+O6</f>
        <v>361.41649048625794</v>
      </c>
      <c r="L5" s="22">
        <f>L6-L4-L3</f>
        <v>370</v>
      </c>
      <c r="N5" s="15" t="s">
        <v>28</v>
      </c>
      <c r="O5" s="12">
        <v>200</v>
      </c>
    </row>
    <row r="6" spans="1:15" x14ac:dyDescent="0.25">
      <c r="A6" s="1" t="s">
        <v>5</v>
      </c>
      <c r="B6" s="18" t="s">
        <v>6</v>
      </c>
      <c r="C6" s="2" t="s">
        <v>2</v>
      </c>
      <c r="D6" s="10">
        <v>2.5</v>
      </c>
      <c r="G6" s="9" t="s">
        <v>29</v>
      </c>
      <c r="H6" s="3">
        <v>47.3</v>
      </c>
      <c r="I6" s="11">
        <f>H6/H6</f>
        <v>1</v>
      </c>
      <c r="J6" s="13">
        <f>O7*I6</f>
        <v>1250</v>
      </c>
      <c r="K6" s="13">
        <f>SUM(K3:K5)</f>
        <v>1700.0000000000002</v>
      </c>
      <c r="L6" s="22">
        <v>1700</v>
      </c>
      <c r="N6" s="15" t="s">
        <v>33</v>
      </c>
      <c r="O6" s="3">
        <v>150</v>
      </c>
    </row>
    <row r="7" spans="1:15" x14ac:dyDescent="0.25">
      <c r="A7" s="4"/>
      <c r="B7" s="19"/>
      <c r="C7" s="5" t="s">
        <v>3</v>
      </c>
      <c r="D7" s="10">
        <v>4</v>
      </c>
      <c r="N7" s="15" t="s">
        <v>34</v>
      </c>
      <c r="O7" s="12">
        <f>O3-O5-3*O6</f>
        <v>1250</v>
      </c>
    </row>
    <row r="8" spans="1:15" x14ac:dyDescent="0.25">
      <c r="A8" s="4"/>
      <c r="B8" s="18" t="s">
        <v>7</v>
      </c>
      <c r="C8" s="2" t="s">
        <v>2</v>
      </c>
      <c r="D8" s="10">
        <v>2</v>
      </c>
    </row>
    <row r="9" spans="1:15" x14ac:dyDescent="0.25">
      <c r="A9" s="4"/>
      <c r="B9" s="19"/>
      <c r="C9" s="5" t="s">
        <v>3</v>
      </c>
      <c r="D9" s="10">
        <v>1</v>
      </c>
    </row>
    <row r="10" spans="1:15" x14ac:dyDescent="0.25">
      <c r="A10" s="4"/>
      <c r="B10" s="18" t="s">
        <v>8</v>
      </c>
      <c r="C10" s="2" t="s">
        <v>2</v>
      </c>
      <c r="D10" s="10">
        <v>1</v>
      </c>
    </row>
    <row r="11" spans="1:15" x14ac:dyDescent="0.25">
      <c r="A11" s="4"/>
      <c r="B11" s="19"/>
      <c r="C11" s="5" t="s">
        <v>3</v>
      </c>
      <c r="D11" s="10">
        <v>1</v>
      </c>
    </row>
    <row r="12" spans="1:15" x14ac:dyDescent="0.25">
      <c r="A12" s="4"/>
      <c r="B12" s="18" t="s">
        <v>9</v>
      </c>
      <c r="C12" s="6" t="s">
        <v>2</v>
      </c>
      <c r="D12" s="10">
        <v>3</v>
      </c>
    </row>
    <row r="13" spans="1:15" x14ac:dyDescent="0.25">
      <c r="A13" s="4"/>
      <c r="B13" s="18" t="s">
        <v>10</v>
      </c>
      <c r="C13" s="2" t="s">
        <v>2</v>
      </c>
      <c r="D13" s="10">
        <v>2.5</v>
      </c>
    </row>
    <row r="14" spans="1:15" x14ac:dyDescent="0.25">
      <c r="A14" s="4"/>
      <c r="B14" s="19"/>
      <c r="C14" s="5" t="s">
        <v>11</v>
      </c>
      <c r="D14" s="10">
        <v>2</v>
      </c>
    </row>
    <row r="15" spans="1:15" x14ac:dyDescent="0.25">
      <c r="A15" s="4"/>
      <c r="B15" s="19"/>
      <c r="C15" s="5" t="s">
        <v>3</v>
      </c>
      <c r="D15" s="10">
        <v>2</v>
      </c>
    </row>
    <row r="16" spans="1:15" x14ac:dyDescent="0.25">
      <c r="A16" s="4"/>
      <c r="B16" s="18" t="s">
        <v>12</v>
      </c>
      <c r="C16" s="2" t="s">
        <v>2</v>
      </c>
      <c r="D16" s="10">
        <v>1</v>
      </c>
    </row>
    <row r="17" spans="1:4" x14ac:dyDescent="0.25">
      <c r="A17" s="4"/>
      <c r="B17" s="19"/>
      <c r="C17" s="5" t="s">
        <v>3</v>
      </c>
      <c r="D17" s="10">
        <v>1</v>
      </c>
    </row>
    <row r="18" spans="1:4" x14ac:dyDescent="0.25">
      <c r="A18" s="7"/>
      <c r="B18" s="19"/>
      <c r="C18" s="3"/>
      <c r="D18" s="10"/>
    </row>
    <row r="19" spans="1:4" x14ac:dyDescent="0.25">
      <c r="A19" s="1" t="s">
        <v>13</v>
      </c>
      <c r="B19" s="18" t="s">
        <v>14</v>
      </c>
      <c r="C19" s="2" t="s">
        <v>2</v>
      </c>
      <c r="D19" s="10">
        <v>1.5</v>
      </c>
    </row>
    <row r="20" spans="1:4" x14ac:dyDescent="0.25">
      <c r="A20" s="4"/>
      <c r="B20" s="19"/>
      <c r="C20" s="5" t="s">
        <v>15</v>
      </c>
      <c r="D20" s="10">
        <v>0.1</v>
      </c>
    </row>
    <row r="21" spans="1:4" x14ac:dyDescent="0.25">
      <c r="A21" s="4"/>
      <c r="B21" s="18" t="s">
        <v>16</v>
      </c>
      <c r="C21" s="2" t="s">
        <v>2</v>
      </c>
      <c r="D21" s="10">
        <v>2</v>
      </c>
    </row>
    <row r="22" spans="1:4" x14ac:dyDescent="0.25">
      <c r="A22" s="4"/>
      <c r="B22" s="18" t="s">
        <v>17</v>
      </c>
      <c r="C22" s="6" t="s">
        <v>2</v>
      </c>
      <c r="D22" s="10">
        <v>1</v>
      </c>
    </row>
    <row r="23" spans="1:4" x14ac:dyDescent="0.25">
      <c r="A23" s="4"/>
      <c r="B23" s="18" t="s">
        <v>18</v>
      </c>
      <c r="C23" s="6" t="s">
        <v>2</v>
      </c>
      <c r="D23" s="10">
        <v>1</v>
      </c>
    </row>
    <row r="24" spans="1:4" x14ac:dyDescent="0.25">
      <c r="A24" s="4"/>
      <c r="B24" s="18" t="s">
        <v>42</v>
      </c>
      <c r="C24" s="2" t="s">
        <v>43</v>
      </c>
      <c r="D24" s="10">
        <v>1</v>
      </c>
    </row>
    <row r="25" spans="1:4" x14ac:dyDescent="0.25">
      <c r="A25" s="7"/>
      <c r="B25" s="8"/>
      <c r="C25" s="3"/>
      <c r="D25" s="10"/>
    </row>
    <row r="26" spans="1:4" x14ac:dyDescent="0.25">
      <c r="A26" s="1" t="s">
        <v>19</v>
      </c>
      <c r="B26" s="8"/>
      <c r="C26" s="2" t="s">
        <v>20</v>
      </c>
      <c r="D26" s="10">
        <v>2</v>
      </c>
    </row>
    <row r="27" spans="1:4" x14ac:dyDescent="0.25">
      <c r="A27" s="4"/>
      <c r="B27" s="8"/>
      <c r="C27" s="5" t="s">
        <v>21</v>
      </c>
      <c r="D27" s="10">
        <v>2</v>
      </c>
    </row>
    <row r="28" spans="1:4" x14ac:dyDescent="0.25">
      <c r="A28" s="4"/>
      <c r="B28" s="8"/>
      <c r="C28" s="5" t="s">
        <v>22</v>
      </c>
      <c r="D28" s="10">
        <v>4.5</v>
      </c>
    </row>
    <row r="29" spans="1:4" x14ac:dyDescent="0.25">
      <c r="A29" s="7"/>
      <c r="B29" s="8"/>
      <c r="C29" s="3"/>
      <c r="D29" s="10"/>
    </row>
    <row r="30" spans="1:4" x14ac:dyDescent="0.25">
      <c r="A30" s="1" t="s">
        <v>23</v>
      </c>
      <c r="B30" s="8"/>
      <c r="C30" s="2" t="s">
        <v>24</v>
      </c>
      <c r="D30" s="10">
        <v>2</v>
      </c>
    </row>
    <row r="31" spans="1:4" x14ac:dyDescent="0.25">
      <c r="A31" s="4"/>
      <c r="B31" s="8"/>
      <c r="C31" s="6" t="s">
        <v>24</v>
      </c>
      <c r="D31" s="10">
        <v>2</v>
      </c>
    </row>
    <row r="32" spans="1:4" x14ac:dyDescent="0.25">
      <c r="A32" s="4"/>
      <c r="B32" s="8"/>
      <c r="C32" s="2" t="s">
        <v>25</v>
      </c>
      <c r="D32" s="10">
        <v>1</v>
      </c>
    </row>
    <row r="33" spans="1:8" x14ac:dyDescent="0.25">
      <c r="A33" s="4"/>
      <c r="B33" s="8"/>
      <c r="C33" s="5" t="s">
        <v>26</v>
      </c>
      <c r="D33" s="10">
        <v>1</v>
      </c>
    </row>
    <row r="34" spans="1:8" x14ac:dyDescent="0.25">
      <c r="A34" s="3"/>
      <c r="B34" s="3"/>
      <c r="C34" s="2" t="s">
        <v>44</v>
      </c>
      <c r="D34" s="20">
        <v>0.2</v>
      </c>
    </row>
    <row r="36" spans="1:8" x14ac:dyDescent="0.25">
      <c r="D36" s="14"/>
    </row>
    <row r="37" spans="1:8" x14ac:dyDescent="0.25">
      <c r="H37" s="14"/>
    </row>
    <row r="38" spans="1:8" x14ac:dyDescent="0.25">
      <c r="H38" s="14"/>
    </row>
  </sheetData>
  <autoFilter ref="C2:D33" xr:uid="{17C6E1FE-D2A1-469A-8DA8-3A857F4052BC}"/>
  <mergeCells count="2">
    <mergeCell ref="A1:D1"/>
    <mergeCell ref="G1:K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周宇航</dc:creator>
  <cp:lastModifiedBy>周宇航</cp:lastModifiedBy>
  <dcterms:created xsi:type="dcterms:W3CDTF">2021-07-09T04:55:01Z</dcterms:created>
  <dcterms:modified xsi:type="dcterms:W3CDTF">2021-07-11T12:28:25Z</dcterms:modified>
</cp:coreProperties>
</file>